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1a718522a85d0f/Desktop/"/>
    </mc:Choice>
  </mc:AlternateContent>
  <xr:revisionPtr revIDLastSave="5" documentId="8_{7605F838-DF32-4E65-B47B-4EA695DA226A}" xr6:coauthVersionLast="47" xr6:coauthVersionMax="47" xr10:uidLastSave="{76D3D1B8-B4C5-4F72-B29E-4089A14D3AC0}"/>
  <bookViews>
    <workbookView xWindow="-108" yWindow="-108" windowWidth="23256" windowHeight="13176" activeTab="4" xr2:uid="{48789CFD-4856-4C0E-9349-AD72CE3E9A86}"/>
  </bookViews>
  <sheets>
    <sheet name="Summary" sheetId="1" r:id="rId1"/>
    <sheet name="Income Statement" sheetId="2" r:id="rId2"/>
    <sheet name="Key Ratios" sheetId="3" r:id="rId3"/>
    <sheet name="CashFlow" sheetId="4" r:id="rId4"/>
    <sheet name="YoY Analysis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8" i="5"/>
  <c r="F9" i="5"/>
  <c r="F10" i="5"/>
  <c r="F11" i="5"/>
  <c r="F5" i="5"/>
  <c r="F6" i="5"/>
  <c r="F4" i="5"/>
  <c r="C10" i="4"/>
  <c r="D10" i="4"/>
  <c r="E10" i="4"/>
  <c r="F10" i="4"/>
  <c r="B10" i="4"/>
  <c r="F8" i="4"/>
  <c r="F9" i="4"/>
  <c r="F5" i="4"/>
  <c r="F6" i="4"/>
  <c r="F4" i="4"/>
  <c r="C6" i="4"/>
  <c r="D6" i="4"/>
  <c r="E6" i="4"/>
  <c r="B6" i="4"/>
  <c r="F6" i="3"/>
  <c r="F7" i="3"/>
  <c r="F8" i="3"/>
  <c r="F9" i="3"/>
  <c r="F10" i="3"/>
  <c r="F11" i="3"/>
  <c r="F5" i="3"/>
  <c r="F9" i="2"/>
  <c r="F10" i="2"/>
  <c r="F11" i="2"/>
  <c r="F12" i="2"/>
  <c r="F13" i="2"/>
  <c r="F14" i="2"/>
  <c r="F15" i="2"/>
  <c r="F16" i="2"/>
  <c r="F17" i="2"/>
  <c r="F18" i="2"/>
  <c r="F19" i="2"/>
  <c r="F20" i="2"/>
  <c r="F7" i="2"/>
  <c r="F8" i="2"/>
  <c r="F6" i="2"/>
  <c r="C8" i="2"/>
  <c r="C20" i="2" s="1"/>
  <c r="D8" i="2"/>
  <c r="D20" i="2" s="1"/>
  <c r="E8" i="2"/>
  <c r="E13" i="2" s="1"/>
  <c r="B8" i="2"/>
  <c r="B20" i="2" s="1"/>
  <c r="F8" i="1"/>
  <c r="F9" i="1"/>
  <c r="F10" i="1"/>
  <c r="F11" i="1"/>
  <c r="F12" i="1"/>
  <c r="F21" i="1"/>
  <c r="F22" i="1"/>
  <c r="F7" i="1"/>
  <c r="E20" i="2" l="1"/>
  <c r="D13" i="2"/>
  <c r="B13" i="2"/>
  <c r="C13" i="2"/>
</calcChain>
</file>

<file path=xl/sharedStrings.xml><?xml version="1.0" encoding="utf-8"?>
<sst xmlns="http://schemas.openxmlformats.org/spreadsheetml/2006/main" count="74" uniqueCount="61">
  <si>
    <t>JP Morgan Chase and Company Financial Summary (2022 - 2025)</t>
  </si>
  <si>
    <t>CAGR</t>
  </si>
  <si>
    <t>Metric</t>
  </si>
  <si>
    <t>Total Revenue</t>
  </si>
  <si>
    <t>Net Interest Income</t>
  </si>
  <si>
    <t>Non Interest Revenue</t>
  </si>
  <si>
    <t>Non Interest Expense</t>
  </si>
  <si>
    <t>Provision for Credit Loss</t>
  </si>
  <si>
    <t>Net Income</t>
  </si>
  <si>
    <t>Basic EPS</t>
  </si>
  <si>
    <t>Diluted EPS</t>
  </si>
  <si>
    <t>JP Morgan and Chase - Income Statement(2022 - 2025)</t>
  </si>
  <si>
    <t>Pre-Tax Income</t>
  </si>
  <si>
    <t>Average</t>
  </si>
  <si>
    <t>Net Profit Margin</t>
  </si>
  <si>
    <t>YoY Growth Rate</t>
  </si>
  <si>
    <t>JP Morgan and Chase Key Ratios</t>
  </si>
  <si>
    <t>Ratio</t>
  </si>
  <si>
    <t>BenchMark</t>
  </si>
  <si>
    <t>Profitability Ratios</t>
  </si>
  <si>
    <t>Return on Equity</t>
  </si>
  <si>
    <t>Return on Assets</t>
  </si>
  <si>
    <t>Net Interest Margin</t>
  </si>
  <si>
    <t>Liquidity and Capital Ratios</t>
  </si>
  <si>
    <t>Efficiency Ratio</t>
  </si>
  <si>
    <t>Equity to Assets Ratio</t>
  </si>
  <si>
    <t>Loan to Deposit Ratio</t>
  </si>
  <si>
    <t>&gt;10%</t>
  </si>
  <si>
    <t>&gt;1%</t>
  </si>
  <si>
    <t>&gt;2.5%</t>
  </si>
  <si>
    <t>&lt;60%</t>
  </si>
  <si>
    <t>60-80%</t>
  </si>
  <si>
    <t>&gt;8%</t>
  </si>
  <si>
    <t>Typical BenchMark for Large US Banks</t>
  </si>
  <si>
    <t>JP Morgan  and Chase Company Cashflow Statement</t>
  </si>
  <si>
    <t>Operating Cash Flow</t>
  </si>
  <si>
    <t>Capital Expenditure</t>
  </si>
  <si>
    <t>Free Cash Flow</t>
  </si>
  <si>
    <t>Divideds Paid</t>
  </si>
  <si>
    <t>Shares Purchased</t>
  </si>
  <si>
    <t>Total ShareHolder Returns</t>
  </si>
  <si>
    <t>JP Morgan and Chase - YoY Growth Analysis</t>
  </si>
  <si>
    <t>2024 YoY</t>
  </si>
  <si>
    <t>2025 YoY</t>
  </si>
  <si>
    <t>Revenue Growth</t>
  </si>
  <si>
    <t>Net Income Growth</t>
  </si>
  <si>
    <t>EPS Growth</t>
  </si>
  <si>
    <t>ROE</t>
  </si>
  <si>
    <t>ROA</t>
  </si>
  <si>
    <t>NIM</t>
  </si>
  <si>
    <t>2022(Base Year)</t>
  </si>
  <si>
    <t>2023 YoY</t>
  </si>
  <si>
    <t>(Since 2022 is the Base Year, there is no change)</t>
  </si>
  <si>
    <t>INCOME STATEMENT</t>
  </si>
  <si>
    <t>PER SHARE DATA(USD)</t>
  </si>
  <si>
    <t>BALANCE SHEET HIGHLIGHT</t>
  </si>
  <si>
    <t>Total Asset</t>
  </si>
  <si>
    <t>Total Deposits</t>
  </si>
  <si>
    <t>Total Loans</t>
  </si>
  <si>
    <t>Total Equity</t>
  </si>
  <si>
    <t>CAGR - Compound Annual Growth Rate for a 4 year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</si>
</sst>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8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166" fontId="0" fillId="0" borderId="0" xfId="0" applyNumberFormat="1"/>
    <xf numFmtId="168" fontId="0" fillId="0" borderId="0" xfId="0" applyNumberFormat="1"/>
    <xf numFmtId="10" fontId="0" fillId="0" borderId="0" xfId="0" applyNumberFormat="1"/>
    <xf numFmtId="0" fontId="1" fillId="2" borderId="0" xfId="0" applyFont="1" applyFill="1"/>
    <xf numFmtId="166" fontId="1" fillId="0" borderId="0" xfId="0" applyNumberFormat="1" applyFo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center"/>
    </xf>
    <xf numFmtId="168" fontId="1" fillId="0" borderId="0" xfId="0" applyNumberFormat="1" applyFont="1"/>
    <xf numFmtId="10" fontId="1" fillId="0" borderId="0" xfId="0" applyNumberFormat="1" applyFont="1"/>
    <xf numFmtId="0" fontId="4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3A24-FE1E-4DD8-8CC8-F9B3DD5A4D58}">
  <dimension ref="A1:F23"/>
  <sheetViews>
    <sheetView showGridLines="0" workbookViewId="0">
      <selection activeCell="J9" sqref="J6:K9"/>
    </sheetView>
  </sheetViews>
  <sheetFormatPr defaultRowHeight="14.4" x14ac:dyDescent="0.3"/>
  <cols>
    <col min="1" max="1" width="32.77734375" customWidth="1"/>
    <col min="2" max="2" width="14.77734375" customWidth="1"/>
    <col min="3" max="5" width="16" bestFit="1" customWidth="1"/>
    <col min="6" max="6" width="12.77734375" customWidth="1"/>
  </cols>
  <sheetData>
    <row r="1" spans="1:6" ht="28.05" customHeight="1" x14ac:dyDescent="0.5">
      <c r="A1" s="18" t="s">
        <v>0</v>
      </c>
      <c r="B1" s="18"/>
      <c r="C1" s="18"/>
      <c r="D1" s="18"/>
      <c r="E1" s="18"/>
      <c r="F1" s="18"/>
    </row>
    <row r="2" spans="1:6" x14ac:dyDescent="0.3">
      <c r="A2" s="2" t="s">
        <v>60</v>
      </c>
      <c r="B2" s="2"/>
      <c r="C2" s="2"/>
      <c r="D2" s="2"/>
      <c r="E2" s="2"/>
      <c r="F2" s="2"/>
    </row>
    <row r="4" spans="1:6" s="4" customFormat="1" x14ac:dyDescent="0.3">
      <c r="A4" s="19" t="s">
        <v>2</v>
      </c>
      <c r="B4" s="19">
        <v>2022</v>
      </c>
      <c r="C4" s="19">
        <v>2023</v>
      </c>
      <c r="D4" s="19">
        <v>2024</v>
      </c>
      <c r="E4" s="19">
        <v>2025</v>
      </c>
      <c r="F4" s="19" t="s">
        <v>1</v>
      </c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15" t="s">
        <v>53</v>
      </c>
      <c r="B6" s="1"/>
      <c r="C6" s="1"/>
      <c r="D6" s="1"/>
      <c r="E6" s="1"/>
      <c r="F6" s="1"/>
    </row>
    <row r="7" spans="1:6" x14ac:dyDescent="0.3">
      <c r="A7" s="14" t="s">
        <v>3</v>
      </c>
      <c r="B7" s="6">
        <v>128695000</v>
      </c>
      <c r="C7" s="5">
        <v>158104000</v>
      </c>
      <c r="D7" s="5">
        <v>170048000</v>
      </c>
      <c r="E7" s="5">
        <v>175000000</v>
      </c>
      <c r="F7" s="17">
        <f>(E7/B7) ^ (1/3) -1</f>
        <v>0.1078784757364053</v>
      </c>
    </row>
    <row r="8" spans="1:6" x14ac:dyDescent="0.3">
      <c r="A8" s="14" t="s">
        <v>4</v>
      </c>
      <c r="B8" s="6">
        <v>66661000</v>
      </c>
      <c r="C8" s="5">
        <v>89271000</v>
      </c>
      <c r="D8" s="5">
        <v>94017000</v>
      </c>
      <c r="E8" s="5">
        <v>96500000</v>
      </c>
      <c r="F8" s="17">
        <f t="shared" ref="F8:F22" si="0">(E8/B8) ^ (1/3) -1</f>
        <v>0.13123238505941859</v>
      </c>
    </row>
    <row r="9" spans="1:6" x14ac:dyDescent="0.3">
      <c r="A9" s="14" t="s">
        <v>5</v>
      </c>
      <c r="B9" s="6">
        <v>62034000</v>
      </c>
      <c r="C9" s="5">
        <v>68833000</v>
      </c>
      <c r="D9" s="5">
        <v>76031000</v>
      </c>
      <c r="E9" s="5">
        <v>78500000</v>
      </c>
      <c r="F9" s="17">
        <f t="shared" si="0"/>
        <v>8.1633070078019898E-2</v>
      </c>
    </row>
    <row r="10" spans="1:6" x14ac:dyDescent="0.3">
      <c r="A10" s="14" t="s">
        <v>6</v>
      </c>
      <c r="B10" s="6">
        <v>76141000</v>
      </c>
      <c r="C10" s="5">
        <v>89270000</v>
      </c>
      <c r="D10" s="5">
        <v>97038000</v>
      </c>
      <c r="E10" s="5">
        <v>101200000</v>
      </c>
      <c r="F10" s="17">
        <f t="shared" si="0"/>
        <v>9.9479945026617278E-2</v>
      </c>
    </row>
    <row r="11" spans="1:6" x14ac:dyDescent="0.3">
      <c r="A11" s="14" t="s">
        <v>7</v>
      </c>
      <c r="B11" s="6">
        <v>6389000</v>
      </c>
      <c r="C11" s="5">
        <v>9320000</v>
      </c>
      <c r="D11" s="5">
        <v>7051000</v>
      </c>
      <c r="E11" s="5">
        <v>7200000</v>
      </c>
      <c r="F11" s="17">
        <f t="shared" si="0"/>
        <v>4.0638452538322545E-2</v>
      </c>
    </row>
    <row r="12" spans="1:6" x14ac:dyDescent="0.3">
      <c r="A12" s="4" t="s">
        <v>8</v>
      </c>
      <c r="B12" s="16">
        <v>37676000</v>
      </c>
      <c r="C12" s="9">
        <v>49552000</v>
      </c>
      <c r="D12" s="9">
        <v>58471000</v>
      </c>
      <c r="E12" s="9">
        <v>62000000</v>
      </c>
      <c r="F12" s="17">
        <f t="shared" si="0"/>
        <v>0.18061682233622989</v>
      </c>
    </row>
    <row r="13" spans="1:6" x14ac:dyDescent="0.3">
      <c r="A13" s="4"/>
      <c r="B13" s="6"/>
      <c r="C13" s="5"/>
      <c r="D13" s="5"/>
      <c r="E13" s="5"/>
      <c r="F13" s="17"/>
    </row>
    <row r="14" spans="1:6" x14ac:dyDescent="0.3">
      <c r="A14" s="4" t="s">
        <v>55</v>
      </c>
      <c r="B14" s="6"/>
      <c r="C14" s="5"/>
      <c r="D14" s="5"/>
      <c r="E14" s="5"/>
      <c r="F14" s="17"/>
    </row>
    <row r="15" spans="1:6" x14ac:dyDescent="0.3">
      <c r="A15" s="14" t="s">
        <v>56</v>
      </c>
      <c r="B15" s="6">
        <v>3665743000</v>
      </c>
      <c r="C15" s="5">
        <v>3875393000</v>
      </c>
      <c r="D15" s="5">
        <v>4001836000</v>
      </c>
      <c r="E15" s="5">
        <v>4150000000</v>
      </c>
      <c r="F15" s="17">
        <f t="shared" si="0"/>
        <v>4.2226298671171225E-2</v>
      </c>
    </row>
    <row r="16" spans="1:6" x14ac:dyDescent="0.3">
      <c r="A16" s="14" t="s">
        <v>57</v>
      </c>
      <c r="B16" s="6">
        <v>2340179000</v>
      </c>
      <c r="C16" s="5">
        <v>2402285000</v>
      </c>
      <c r="D16" s="5">
        <v>2434015000</v>
      </c>
      <c r="E16" s="5">
        <v>2480000000</v>
      </c>
      <c r="F16" s="17">
        <f t="shared" si="0"/>
        <v>1.9532014470999837E-2</v>
      </c>
    </row>
    <row r="17" spans="1:6" x14ac:dyDescent="0.3">
      <c r="A17" s="14" t="s">
        <v>58</v>
      </c>
      <c r="B17" s="6">
        <v>1135647000</v>
      </c>
      <c r="C17" s="5">
        <v>1323152000</v>
      </c>
      <c r="D17" s="5">
        <v>1338447000</v>
      </c>
      <c r="E17" s="5">
        <v>1360000000</v>
      </c>
      <c r="F17" s="17">
        <f t="shared" si="0"/>
        <v>6.1936423048524869E-2</v>
      </c>
    </row>
    <row r="18" spans="1:6" x14ac:dyDescent="0.3">
      <c r="A18" s="14" t="s">
        <v>59</v>
      </c>
      <c r="B18" s="6">
        <v>270036000</v>
      </c>
      <c r="C18" s="5">
        <v>292566000</v>
      </c>
      <c r="D18" s="5">
        <v>300583000</v>
      </c>
      <c r="E18" s="5">
        <v>310000000</v>
      </c>
      <c r="F18" s="17">
        <f t="shared" si="0"/>
        <v>4.7080349294204904E-2</v>
      </c>
    </row>
    <row r="19" spans="1:6" x14ac:dyDescent="0.3">
      <c r="A19" s="14"/>
      <c r="B19" s="6"/>
      <c r="C19" s="5"/>
      <c r="D19" s="5"/>
      <c r="E19" s="5"/>
      <c r="F19" s="17"/>
    </row>
    <row r="20" spans="1:6" x14ac:dyDescent="0.3">
      <c r="A20" s="4" t="s">
        <v>54</v>
      </c>
      <c r="B20" s="6"/>
      <c r="C20" s="5"/>
      <c r="D20" s="5"/>
      <c r="E20" s="5"/>
      <c r="F20" s="17"/>
    </row>
    <row r="21" spans="1:6" x14ac:dyDescent="0.3">
      <c r="A21" s="14" t="s">
        <v>9</v>
      </c>
      <c r="B21" s="7">
        <v>0.12089999999999999</v>
      </c>
      <c r="C21" s="7">
        <v>0.1623</v>
      </c>
      <c r="D21" s="7">
        <v>0.19750000000000001</v>
      </c>
      <c r="E21" s="7">
        <v>0.215</v>
      </c>
      <c r="F21" s="17">
        <f t="shared" si="0"/>
        <v>0.21153896516565451</v>
      </c>
    </row>
    <row r="22" spans="1:6" x14ac:dyDescent="0.3">
      <c r="A22" s="14" t="s">
        <v>10</v>
      </c>
      <c r="B22" s="7">
        <v>0.12089999999999999</v>
      </c>
      <c r="C22" s="7">
        <v>0.1623</v>
      </c>
      <c r="D22" s="7">
        <v>0.19750000000000001</v>
      </c>
      <c r="E22" s="7">
        <v>0.215</v>
      </c>
      <c r="F22" s="17">
        <f t="shared" si="0"/>
        <v>0.21153896516565451</v>
      </c>
    </row>
    <row r="23" spans="1:6" x14ac:dyDescent="0.3">
      <c r="F23" s="4"/>
    </row>
  </sheetData>
  <mergeCells count="3">
    <mergeCell ref="A1:F1"/>
    <mergeCell ref="A5:F5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72F6-6175-47CE-8D05-A156F03471B2}">
  <dimension ref="A1:F20"/>
  <sheetViews>
    <sheetView showGridLines="0" workbookViewId="0">
      <selection activeCell="A2" sqref="A2:F4"/>
    </sheetView>
  </sheetViews>
  <sheetFormatPr defaultRowHeight="14.4" x14ac:dyDescent="0.3"/>
  <cols>
    <col min="1" max="1" width="34.77734375" customWidth="1"/>
    <col min="2" max="2" width="15.109375" bestFit="1" customWidth="1"/>
    <col min="3" max="5" width="13.5546875" bestFit="1" customWidth="1"/>
    <col min="6" max="6" width="15.109375" bestFit="1" customWidth="1"/>
  </cols>
  <sheetData>
    <row r="1" spans="1:6" ht="28.8" x14ac:dyDescent="0.55000000000000004">
      <c r="A1" s="13" t="s">
        <v>11</v>
      </c>
      <c r="B1" s="11"/>
      <c r="C1" s="11"/>
      <c r="D1" s="11"/>
      <c r="E1" s="11"/>
      <c r="F1" s="11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4"/>
      <c r="B5" s="3">
        <v>2022</v>
      </c>
      <c r="C5" s="3">
        <v>2023</v>
      </c>
      <c r="D5" s="3">
        <v>2024</v>
      </c>
      <c r="E5" s="3">
        <v>2025</v>
      </c>
      <c r="F5" s="3" t="s">
        <v>15</v>
      </c>
    </row>
    <row r="6" spans="1:6" x14ac:dyDescent="0.3">
      <c r="A6" s="4" t="s">
        <v>4</v>
      </c>
      <c r="B6" s="6">
        <v>66661000</v>
      </c>
      <c r="C6" s="6">
        <v>89271000</v>
      </c>
      <c r="D6" s="6">
        <v>94017000</v>
      </c>
      <c r="E6" s="6">
        <v>96500000</v>
      </c>
      <c r="F6" s="7">
        <f>IFERROR(AVERAGE((C6/B6-1),(D6/C6-1), (E6/D6-1)), "-")</f>
        <v>0.13958430298020574</v>
      </c>
    </row>
    <row r="7" spans="1:6" x14ac:dyDescent="0.3">
      <c r="A7" s="4" t="s">
        <v>5</v>
      </c>
      <c r="B7" s="6">
        <v>62034000</v>
      </c>
      <c r="C7" s="6">
        <v>68833000</v>
      </c>
      <c r="D7" s="6">
        <v>76031000</v>
      </c>
      <c r="E7" s="6">
        <v>78500000</v>
      </c>
      <c r="F7" s="7">
        <f t="shared" ref="F7:F20" si="0">IFERROR(AVERAGE((C7/B7-1),(D7/C7-1), (E7/D7-1)), "-")</f>
        <v>8.2215572571813597E-2</v>
      </c>
    </row>
    <row r="8" spans="1:6" x14ac:dyDescent="0.3">
      <c r="A8" s="4" t="s">
        <v>3</v>
      </c>
      <c r="B8" s="6">
        <f>B6+B7</f>
        <v>128695000</v>
      </c>
      <c r="C8" s="6">
        <f t="shared" ref="C8:E8" si="1">C6+C7</f>
        <v>158104000</v>
      </c>
      <c r="D8" s="6">
        <f t="shared" si="1"/>
        <v>170048000</v>
      </c>
      <c r="E8" s="6">
        <f t="shared" si="1"/>
        <v>175000000</v>
      </c>
      <c r="F8" s="7">
        <f t="shared" si="0"/>
        <v>0.11106114548750338</v>
      </c>
    </row>
    <row r="9" spans="1:6" x14ac:dyDescent="0.3">
      <c r="A9" s="4"/>
      <c r="F9" s="7" t="str">
        <f t="shared" si="0"/>
        <v>-</v>
      </c>
    </row>
    <row r="10" spans="1:6" x14ac:dyDescent="0.3">
      <c r="A10" s="4" t="s">
        <v>6</v>
      </c>
      <c r="B10" s="6">
        <v>76141000</v>
      </c>
      <c r="C10" s="6">
        <v>89271000</v>
      </c>
      <c r="D10" s="6">
        <v>94017000</v>
      </c>
      <c r="E10" s="6">
        <v>96500000</v>
      </c>
      <c r="F10" s="7">
        <f t="shared" si="0"/>
        <v>8.4005769687580376E-2</v>
      </c>
    </row>
    <row r="11" spans="1:6" x14ac:dyDescent="0.3">
      <c r="A11" s="4" t="s">
        <v>7</v>
      </c>
      <c r="B11" s="6">
        <v>6389000</v>
      </c>
      <c r="C11" s="6">
        <v>9320000</v>
      </c>
      <c r="D11" s="6">
        <v>7051000</v>
      </c>
      <c r="E11" s="6">
        <v>7200000</v>
      </c>
      <c r="F11" s="7">
        <f t="shared" si="0"/>
        <v>7.8811352581101723E-2</v>
      </c>
    </row>
    <row r="12" spans="1:6" x14ac:dyDescent="0.3">
      <c r="A12" s="4"/>
      <c r="F12" s="7" t="str">
        <f t="shared" si="0"/>
        <v>-</v>
      </c>
    </row>
    <row r="13" spans="1:6" x14ac:dyDescent="0.3">
      <c r="A13" s="4" t="s">
        <v>12</v>
      </c>
      <c r="B13" s="6">
        <f>B8-B10-B11</f>
        <v>46165000</v>
      </c>
      <c r="C13" s="6">
        <f t="shared" ref="C13:E13" si="2">C8-C10-C11</f>
        <v>59513000</v>
      </c>
      <c r="D13" s="6">
        <f t="shared" si="2"/>
        <v>68980000</v>
      </c>
      <c r="E13" s="6">
        <f t="shared" si="2"/>
        <v>71300000</v>
      </c>
      <c r="F13" s="7">
        <f t="shared" si="0"/>
        <v>0.16061473898405584</v>
      </c>
    </row>
    <row r="14" spans="1:6" x14ac:dyDescent="0.3">
      <c r="A14" s="4"/>
      <c r="F14" s="7" t="str">
        <f t="shared" si="0"/>
        <v>-</v>
      </c>
    </row>
    <row r="15" spans="1:6" x14ac:dyDescent="0.3">
      <c r="A15" s="4"/>
      <c r="F15" s="7" t="str">
        <f t="shared" si="0"/>
        <v>-</v>
      </c>
    </row>
    <row r="16" spans="1:6" x14ac:dyDescent="0.3">
      <c r="A16" s="4" t="s">
        <v>9</v>
      </c>
      <c r="B16" s="7">
        <v>0.12089999999999999</v>
      </c>
      <c r="C16" s="7">
        <v>0.1623</v>
      </c>
      <c r="D16" s="7">
        <v>0.19750000000000001</v>
      </c>
      <c r="E16" s="7">
        <v>0.215</v>
      </c>
      <c r="F16" s="7">
        <f t="shared" si="0"/>
        <v>0.21597389114026111</v>
      </c>
    </row>
    <row r="17" spans="1:6" x14ac:dyDescent="0.3">
      <c r="A17" s="4" t="s">
        <v>10</v>
      </c>
      <c r="B17" s="7">
        <v>0.12089999999999999</v>
      </c>
      <c r="C17" s="7">
        <v>0.1623</v>
      </c>
      <c r="D17" s="7">
        <v>0.19750000000000001</v>
      </c>
      <c r="E17" s="7">
        <v>0.215</v>
      </c>
      <c r="F17" s="7">
        <f t="shared" si="0"/>
        <v>0.21597389114026111</v>
      </c>
    </row>
    <row r="18" spans="1:6" x14ac:dyDescent="0.3">
      <c r="A18" s="4"/>
      <c r="B18" s="7"/>
      <c r="C18" s="7"/>
      <c r="D18" s="7"/>
      <c r="E18" s="7"/>
      <c r="F18" s="7" t="str">
        <f t="shared" si="0"/>
        <v>-</v>
      </c>
    </row>
    <row r="19" spans="1:6" x14ac:dyDescent="0.3">
      <c r="A19" s="4" t="s">
        <v>8</v>
      </c>
      <c r="B19" s="6">
        <v>37676000</v>
      </c>
      <c r="C19" s="6">
        <v>49552000</v>
      </c>
      <c r="D19" s="6">
        <v>58471000</v>
      </c>
      <c r="E19" s="6">
        <v>62000000</v>
      </c>
      <c r="F19" s="7">
        <f t="shared" si="0"/>
        <v>0.18518712331605758</v>
      </c>
    </row>
    <row r="20" spans="1:6" x14ac:dyDescent="0.3">
      <c r="A20" s="4" t="s">
        <v>14</v>
      </c>
      <c r="B20" s="7">
        <f>B19/B8</f>
        <v>0.29275418625432226</v>
      </c>
      <c r="C20" s="7">
        <f>C19/C8</f>
        <v>0.31341395537114808</v>
      </c>
      <c r="D20" s="7">
        <f>D19/D8</f>
        <v>0.34384997177267596</v>
      </c>
      <c r="E20" s="7">
        <f>E19/E8</f>
        <v>0.35428571428571426</v>
      </c>
      <c r="F20" s="7">
        <f t="shared" si="0"/>
        <v>6.6010431771064582E-2</v>
      </c>
    </row>
  </sheetData>
  <mergeCells count="2">
    <mergeCell ref="A1:F1"/>
    <mergeCell ref="A2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DA8F-A963-4069-AD64-4D1B2C2ACA7F}">
  <dimension ref="A1:H11"/>
  <sheetViews>
    <sheetView showGridLines="0" workbookViewId="0">
      <selection sqref="A1:H1"/>
    </sheetView>
  </sheetViews>
  <sheetFormatPr defaultRowHeight="14.4" x14ac:dyDescent="0.3"/>
  <cols>
    <col min="1" max="1" width="30.77734375" customWidth="1"/>
    <col min="2" max="7" width="13.77734375" customWidth="1"/>
    <col min="8" max="8" width="16.77734375" customWidth="1"/>
  </cols>
  <sheetData>
    <row r="1" spans="1:8" ht="28.8" x14ac:dyDescent="0.55000000000000004">
      <c r="A1" s="12" t="s">
        <v>16</v>
      </c>
      <c r="B1" s="10"/>
      <c r="C1" s="10"/>
      <c r="D1" s="10"/>
      <c r="E1" s="10"/>
      <c r="F1" s="10"/>
      <c r="G1" s="10"/>
      <c r="H1" s="10"/>
    </row>
    <row r="2" spans="1:8" x14ac:dyDescent="0.3">
      <c r="A2" s="2" t="s">
        <v>33</v>
      </c>
      <c r="B2" s="2"/>
      <c r="C2" s="2"/>
      <c r="D2" s="2"/>
      <c r="E2" s="2"/>
      <c r="F2" s="2"/>
      <c r="G2" s="2"/>
    </row>
    <row r="3" spans="1:8" x14ac:dyDescent="0.3">
      <c r="A3" s="4" t="s">
        <v>17</v>
      </c>
      <c r="B3" s="4">
        <v>2022</v>
      </c>
      <c r="C3" s="4">
        <v>2023</v>
      </c>
      <c r="D3" s="4">
        <v>2024</v>
      </c>
      <c r="E3" s="4">
        <v>2025</v>
      </c>
      <c r="F3" s="4" t="s">
        <v>13</v>
      </c>
      <c r="G3" s="4" t="s">
        <v>18</v>
      </c>
    </row>
    <row r="4" spans="1:8" x14ac:dyDescent="0.3">
      <c r="A4" s="4" t="s">
        <v>19</v>
      </c>
    </row>
    <row r="5" spans="1:8" x14ac:dyDescent="0.3">
      <c r="A5" t="s">
        <v>20</v>
      </c>
      <c r="B5" s="7">
        <v>0.13950000000000001</v>
      </c>
      <c r="C5" s="7">
        <v>0.1694</v>
      </c>
      <c r="D5" s="7">
        <v>0.19450000000000001</v>
      </c>
      <c r="E5" s="7">
        <v>0.2</v>
      </c>
      <c r="F5" s="7">
        <f>IFERROR(AVERAGE(B5:E5),"-")</f>
        <v>0.17585000000000001</v>
      </c>
      <c r="G5" s="7" t="s">
        <v>27</v>
      </c>
    </row>
    <row r="6" spans="1:8" x14ac:dyDescent="0.3">
      <c r="A6" t="s">
        <v>21</v>
      </c>
      <c r="B6" s="7">
        <v>1.03E-2</v>
      </c>
      <c r="C6" s="7">
        <v>1.2800000000000001E-2</v>
      </c>
      <c r="D6" s="7">
        <v>1.46E-2</v>
      </c>
      <c r="E6" s="7">
        <v>1.4999999999999999E-2</v>
      </c>
      <c r="F6" s="7">
        <f t="shared" ref="F6:F11" si="0">IFERROR(AVERAGE(B6:E6),"-")</f>
        <v>1.3175000000000001E-2</v>
      </c>
      <c r="G6" s="7" t="s">
        <v>28</v>
      </c>
    </row>
    <row r="7" spans="1:8" x14ac:dyDescent="0.3">
      <c r="A7" t="s">
        <v>22</v>
      </c>
      <c r="B7" s="7">
        <v>2.5999999999999999E-2</v>
      </c>
      <c r="C7" s="7">
        <v>3.2899999999999999E-2</v>
      </c>
      <c r="D7" s="7">
        <v>3.3599999999999998E-2</v>
      </c>
      <c r="E7" s="7">
        <v>3.4000000000000002E-2</v>
      </c>
      <c r="F7" s="7">
        <f t="shared" si="0"/>
        <v>3.1625E-2</v>
      </c>
      <c r="G7" s="7" t="s">
        <v>29</v>
      </c>
    </row>
    <row r="8" spans="1:8" x14ac:dyDescent="0.3">
      <c r="A8" s="4" t="s">
        <v>23</v>
      </c>
      <c r="F8" s="7" t="str">
        <f t="shared" si="0"/>
        <v>-</v>
      </c>
      <c r="G8" s="7"/>
    </row>
    <row r="9" spans="1:8" x14ac:dyDescent="0.3">
      <c r="A9" t="s">
        <v>24</v>
      </c>
      <c r="B9" s="7">
        <v>0.59199999999999997</v>
      </c>
      <c r="C9" s="7">
        <v>0.56499999999999995</v>
      </c>
      <c r="D9" s="7">
        <v>0.57099999999999995</v>
      </c>
      <c r="E9" s="7">
        <v>0.56999999999999995</v>
      </c>
      <c r="F9" s="7">
        <f t="shared" si="0"/>
        <v>0.57450000000000001</v>
      </c>
      <c r="G9" s="7" t="s">
        <v>30</v>
      </c>
    </row>
    <row r="10" spans="1:8" x14ac:dyDescent="0.3">
      <c r="A10" t="s">
        <v>26</v>
      </c>
      <c r="B10" s="7">
        <v>0.48499999999999999</v>
      </c>
      <c r="C10" s="7">
        <v>0.55700000000000005</v>
      </c>
      <c r="D10" s="7">
        <v>0.55000000000000004</v>
      </c>
      <c r="E10" s="7">
        <v>0.54</v>
      </c>
      <c r="F10" s="7">
        <f t="shared" si="0"/>
        <v>0.53300000000000003</v>
      </c>
      <c r="G10" s="7" t="s">
        <v>31</v>
      </c>
    </row>
    <row r="11" spans="1:8" x14ac:dyDescent="0.3">
      <c r="A11" t="s">
        <v>25</v>
      </c>
      <c r="B11" s="7">
        <v>7.3700000000000002E-2</v>
      </c>
      <c r="C11" s="7">
        <v>7.4999999999999997E-2</v>
      </c>
      <c r="D11" s="7">
        <v>7.51E-2</v>
      </c>
      <c r="E11" s="7">
        <v>7.4999999999999997E-2</v>
      </c>
      <c r="F11" s="7">
        <f t="shared" si="0"/>
        <v>7.4700000000000003E-2</v>
      </c>
      <c r="G11" s="7" t="s">
        <v>32</v>
      </c>
    </row>
  </sheetData>
  <mergeCells count="2">
    <mergeCell ref="A1:H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8151-A02A-4283-A171-A2B154AA3424}">
  <dimension ref="A1:F10"/>
  <sheetViews>
    <sheetView showGridLines="0" workbookViewId="0">
      <selection sqref="A1:F1"/>
    </sheetView>
  </sheetViews>
  <sheetFormatPr defaultRowHeight="14.4" x14ac:dyDescent="0.3"/>
  <cols>
    <col min="1" max="1" width="30.77734375" customWidth="1"/>
    <col min="2" max="6" width="15.77734375" customWidth="1"/>
  </cols>
  <sheetData>
    <row r="1" spans="1:6" ht="28.8" x14ac:dyDescent="0.55000000000000004">
      <c r="A1" s="13" t="s">
        <v>34</v>
      </c>
      <c r="B1" s="11"/>
      <c r="C1" s="11"/>
      <c r="D1" s="11"/>
      <c r="E1" s="11"/>
      <c r="F1" s="11"/>
    </row>
    <row r="3" spans="1:6" x14ac:dyDescent="0.3">
      <c r="A3" s="8" t="s">
        <v>2</v>
      </c>
      <c r="B3" s="8">
        <v>2022</v>
      </c>
      <c r="C3" s="8">
        <v>2023</v>
      </c>
      <c r="D3" s="8">
        <v>2024</v>
      </c>
      <c r="E3" s="8">
        <v>2025</v>
      </c>
      <c r="F3" s="8" t="s">
        <v>13</v>
      </c>
    </row>
    <row r="4" spans="1:6" x14ac:dyDescent="0.3">
      <c r="A4" t="s">
        <v>35</v>
      </c>
      <c r="B4" s="5">
        <v>48500000</v>
      </c>
      <c r="C4" s="5">
        <v>61200000</v>
      </c>
      <c r="D4" s="5">
        <v>68400000</v>
      </c>
      <c r="E4" s="5">
        <v>72000000</v>
      </c>
      <c r="F4" s="5">
        <f>AVERAGE(B4:E4)</f>
        <v>62525000</v>
      </c>
    </row>
    <row r="5" spans="1:6" x14ac:dyDescent="0.3">
      <c r="A5" t="s">
        <v>36</v>
      </c>
      <c r="B5" s="5">
        <v>5400000</v>
      </c>
      <c r="C5" s="5">
        <v>5900000</v>
      </c>
      <c r="D5" s="5">
        <v>6200000</v>
      </c>
      <c r="E5" s="5">
        <v>6500000</v>
      </c>
      <c r="F5" s="5">
        <f t="shared" ref="F5:F10" si="0">AVERAGE(B5:E5)</f>
        <v>6000000</v>
      </c>
    </row>
    <row r="6" spans="1:6" x14ac:dyDescent="0.3">
      <c r="A6" s="4" t="s">
        <v>37</v>
      </c>
      <c r="B6" s="9">
        <f>B4-B5</f>
        <v>43100000</v>
      </c>
      <c r="C6" s="9">
        <f t="shared" ref="C6:E6" si="1">C4-C5</f>
        <v>55300000</v>
      </c>
      <c r="D6" s="9">
        <f t="shared" si="1"/>
        <v>62200000</v>
      </c>
      <c r="E6" s="9">
        <f t="shared" si="1"/>
        <v>65500000</v>
      </c>
      <c r="F6" s="9">
        <f t="shared" si="0"/>
        <v>56525000</v>
      </c>
    </row>
    <row r="7" spans="1:6" x14ac:dyDescent="0.3">
      <c r="B7" s="5"/>
      <c r="C7" s="5"/>
      <c r="D7" s="5"/>
      <c r="E7" s="5"/>
      <c r="F7" s="5"/>
    </row>
    <row r="8" spans="1:6" x14ac:dyDescent="0.3">
      <c r="A8" t="s">
        <v>38</v>
      </c>
      <c r="B8" s="5">
        <v>11200000</v>
      </c>
      <c r="C8" s="5">
        <v>13900000</v>
      </c>
      <c r="D8" s="5">
        <v>14800000</v>
      </c>
      <c r="E8" s="5">
        <v>15500000</v>
      </c>
      <c r="F8" s="5">
        <f t="shared" si="0"/>
        <v>13850000</v>
      </c>
    </row>
    <row r="9" spans="1:6" x14ac:dyDescent="0.3">
      <c r="A9" t="s">
        <v>39</v>
      </c>
      <c r="B9" s="5">
        <v>10400000</v>
      </c>
      <c r="C9" s="5">
        <v>14800000</v>
      </c>
      <c r="D9" s="5">
        <v>15400000</v>
      </c>
      <c r="E9" s="5">
        <v>16000000</v>
      </c>
      <c r="F9" s="5">
        <f t="shared" si="0"/>
        <v>14150000</v>
      </c>
    </row>
    <row r="10" spans="1:6" x14ac:dyDescent="0.3">
      <c r="A10" s="4" t="s">
        <v>40</v>
      </c>
      <c r="B10" s="9">
        <f>ABS(B8) + ABS(B9)</f>
        <v>21600000</v>
      </c>
      <c r="C10" s="9">
        <f t="shared" ref="C10:F10" si="2">ABS(C8) + ABS(C9)</f>
        <v>28700000</v>
      </c>
      <c r="D10" s="9">
        <f t="shared" si="2"/>
        <v>30200000</v>
      </c>
      <c r="E10" s="9">
        <f t="shared" si="2"/>
        <v>31500000</v>
      </c>
      <c r="F10" s="9">
        <f t="shared" si="2"/>
        <v>28000000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9F79-9B3E-443B-944C-C62B9823B320}">
  <dimension ref="A1:F11"/>
  <sheetViews>
    <sheetView showGridLines="0" tabSelected="1" workbookViewId="0">
      <selection activeCell="F21" sqref="F21"/>
    </sheetView>
  </sheetViews>
  <sheetFormatPr defaultRowHeight="14.4" x14ac:dyDescent="0.3"/>
  <cols>
    <col min="1" max="1" width="30.77734375" customWidth="1"/>
    <col min="2" max="6" width="15.77734375" customWidth="1"/>
  </cols>
  <sheetData>
    <row r="1" spans="1:6" ht="28.8" x14ac:dyDescent="0.55000000000000004">
      <c r="A1" s="13" t="s">
        <v>41</v>
      </c>
      <c r="B1" s="12"/>
      <c r="C1" s="12"/>
      <c r="D1" s="12"/>
      <c r="E1" s="12"/>
      <c r="F1" s="12"/>
    </row>
    <row r="2" spans="1:6" x14ac:dyDescent="0.3">
      <c r="A2" s="2" t="s">
        <v>52</v>
      </c>
      <c r="B2" s="2"/>
      <c r="C2" s="2"/>
      <c r="D2" s="2"/>
      <c r="E2" s="2"/>
      <c r="F2" s="2"/>
    </row>
    <row r="3" spans="1:6" x14ac:dyDescent="0.3">
      <c r="A3" t="s">
        <v>2</v>
      </c>
      <c r="B3" s="4" t="s">
        <v>50</v>
      </c>
      <c r="C3" s="4" t="s">
        <v>51</v>
      </c>
      <c r="D3" s="4" t="s">
        <v>42</v>
      </c>
      <c r="E3" s="4" t="s">
        <v>43</v>
      </c>
      <c r="F3" s="4" t="s">
        <v>13</v>
      </c>
    </row>
    <row r="4" spans="1:6" x14ac:dyDescent="0.3">
      <c r="A4" s="4" t="s">
        <v>44</v>
      </c>
      <c r="C4" s="7">
        <v>0.22900000000000001</v>
      </c>
      <c r="D4" s="7">
        <v>7.5999999999999998E-2</v>
      </c>
      <c r="E4" s="7">
        <v>2.9000000000000001E-2</v>
      </c>
      <c r="F4" s="7">
        <f>AVERAGE(C4:E4)</f>
        <v>0.11133333333333334</v>
      </c>
    </row>
    <row r="5" spans="1:6" x14ac:dyDescent="0.3">
      <c r="A5" s="4" t="s">
        <v>45</v>
      </c>
      <c r="C5" s="7">
        <v>0.315</v>
      </c>
      <c r="D5" s="7">
        <v>0.18</v>
      </c>
      <c r="E5" s="7">
        <v>0.06</v>
      </c>
      <c r="F5" s="7">
        <f t="shared" ref="F5:F11" si="0">AVERAGE(C5:E5)</f>
        <v>0.18499999999999997</v>
      </c>
    </row>
    <row r="6" spans="1:6" x14ac:dyDescent="0.3">
      <c r="A6" s="4" t="s">
        <v>46</v>
      </c>
      <c r="C6" s="7">
        <v>0.34200000000000003</v>
      </c>
      <c r="D6" s="7">
        <v>0.217</v>
      </c>
      <c r="E6" s="7">
        <v>8.8999999999999996E-2</v>
      </c>
      <c r="F6" s="7">
        <f t="shared" si="0"/>
        <v>0.216</v>
      </c>
    </row>
    <row r="7" spans="1:6" x14ac:dyDescent="0.3">
      <c r="A7" s="4"/>
      <c r="C7" s="7"/>
      <c r="D7" s="7"/>
      <c r="E7" s="7"/>
      <c r="F7" s="7"/>
    </row>
    <row r="8" spans="1:6" x14ac:dyDescent="0.3">
      <c r="A8" s="4" t="s">
        <v>47</v>
      </c>
      <c r="B8" s="7">
        <v>0.14000000000000001</v>
      </c>
      <c r="C8" s="7">
        <v>0.16900000000000001</v>
      </c>
      <c r="D8" s="7">
        <v>0.19500000000000001</v>
      </c>
      <c r="E8" s="7">
        <v>0.2</v>
      </c>
      <c r="F8" s="7">
        <f t="shared" si="0"/>
        <v>0.18800000000000003</v>
      </c>
    </row>
    <row r="9" spans="1:6" x14ac:dyDescent="0.3">
      <c r="A9" s="4" t="s">
        <v>48</v>
      </c>
      <c r="B9" s="7">
        <v>0.01</v>
      </c>
      <c r="C9" s="7">
        <v>1.2999999999999999E-2</v>
      </c>
      <c r="D9" s="7">
        <v>1.4999999999999999E-2</v>
      </c>
      <c r="E9" s="7">
        <v>1.4999999999999999E-2</v>
      </c>
      <c r="F9" s="7">
        <f t="shared" si="0"/>
        <v>1.4333333333333332E-2</v>
      </c>
    </row>
    <row r="10" spans="1:6" x14ac:dyDescent="0.3">
      <c r="A10" s="4" t="s">
        <v>49</v>
      </c>
      <c r="B10" s="7">
        <v>2.5999999999999999E-2</v>
      </c>
      <c r="C10" s="7">
        <v>3.3000000000000002E-2</v>
      </c>
      <c r="D10" s="7">
        <v>3.4000000000000002E-2</v>
      </c>
      <c r="E10" s="7">
        <v>3.3000000000000002E-2</v>
      </c>
      <c r="F10" s="7">
        <f t="shared" si="0"/>
        <v>3.3333333333333333E-2</v>
      </c>
    </row>
    <row r="11" spans="1:6" x14ac:dyDescent="0.3">
      <c r="A11" s="4" t="s">
        <v>24</v>
      </c>
      <c r="B11" s="7">
        <v>0.59199999999999997</v>
      </c>
      <c r="C11" s="7">
        <v>0.56499999999999995</v>
      </c>
      <c r="D11" s="7">
        <v>0.57099999999999995</v>
      </c>
      <c r="E11" s="7">
        <v>0.57799999999999996</v>
      </c>
      <c r="F11" s="7">
        <f t="shared" si="0"/>
        <v>0.57133333333333336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Income Statement</vt:lpstr>
      <vt:lpstr>Key Ratios</vt:lpstr>
      <vt:lpstr>CashFlow</vt:lpstr>
      <vt:lpstr>YoY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Gikonyo</dc:creator>
  <cp:lastModifiedBy>Paul Gikonyo</cp:lastModifiedBy>
  <dcterms:created xsi:type="dcterms:W3CDTF">2026-03-25T06:38:19Z</dcterms:created>
  <dcterms:modified xsi:type="dcterms:W3CDTF">2026-03-25T12:25:16Z</dcterms:modified>
</cp:coreProperties>
</file>